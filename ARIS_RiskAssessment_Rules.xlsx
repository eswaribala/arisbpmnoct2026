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ARISBPMN\"/>
    </mc:Choice>
  </mc:AlternateContent>
  <xr:revisionPtr revIDLastSave="0" documentId="13_ncr:1_{7A2F4F94-02D8-445A-A88B-86526C5C4B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cision Rules" sheetId="1" r:id="rId1"/>
    <sheet name="Try a Decision" sheetId="2" r:id="rId2"/>
    <sheet name="ARIS Lab Ste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B10" i="2"/>
  <c r="B12" i="2" s="1"/>
</calcChain>
</file>

<file path=xl/sharedStrings.xml><?xml version="1.0" encoding="utf-8"?>
<sst xmlns="http://schemas.openxmlformats.org/spreadsheetml/2006/main" count="120" uniqueCount="91">
  <si>
    <t>External decision table • ARIS BPMN Business Rule Task • Training example only</t>
  </si>
  <si>
    <t>Rule ID</t>
  </si>
  <si>
    <t>Documents complete?</t>
  </si>
  <si>
    <t>Decision output</t>
  </si>
  <si>
    <t>CONTROL PARAMETER</t>
  </si>
  <si>
    <t>VALUE</t>
  </si>
  <si>
    <t>R1</t>
  </si>
  <si>
    <t>No</t>
  </si>
  <si>
    <t>REFER</t>
  </si>
  <si>
    <t>R2</t>
  </si>
  <si>
    <t>Yes</t>
  </si>
  <si>
    <t>APPROVE</t>
  </si>
  <si>
    <t>R3</t>
  </si>
  <si>
    <t>R4</t>
  </si>
  <si>
    <t>REJECT</t>
  </si>
  <si>
    <t>Rule priority: R1 before R4, then R3/R2. These four conditions cover valid, non-negative integer inputs.</t>
  </si>
  <si>
    <t>Scope: Motor insurance underwriting lab. Not an AXA production policy, real underwriting decision, or executable ARIS DMN model.</t>
  </si>
  <si>
    <t>DECISION SIMULATOR</t>
  </si>
  <si>
    <t>Change blue input cells to see the outcome from the workbook rules</t>
  </si>
  <si>
    <t>INPUT</t>
  </si>
  <si>
    <t>Documents complete? (Yes/No)</t>
  </si>
  <si>
    <t>Vehicle age (whole years)</t>
  </si>
  <si>
    <t>Claims last 3 years (whole number)</t>
  </si>
  <si>
    <t>DECISION OUTPUT</t>
  </si>
  <si>
    <t>MATCHED RULE</t>
  </si>
  <si>
    <t>CASE</t>
  </si>
  <si>
    <t>Docs complete?</t>
  </si>
  <si>
    <t>Vehicle age</t>
  </si>
  <si>
    <t>Claims</t>
  </si>
  <si>
    <t>Expected</t>
  </si>
  <si>
    <t>Actual</t>
  </si>
  <si>
    <t>TEST STATUS</t>
  </si>
  <si>
    <t>T01</t>
  </si>
  <si>
    <t>T02</t>
  </si>
  <si>
    <t>T03</t>
  </si>
  <si>
    <t>T04</t>
  </si>
  <si>
    <t>T05</t>
  </si>
  <si>
    <t>T06</t>
  </si>
  <si>
    <t>T07</t>
  </si>
  <si>
    <t>T08</t>
  </si>
  <si>
    <t>Illustrative rules only. This Excel calculator demonstrates logic; ARIS does not evaluate it just by linking the workbook.</t>
  </si>
  <si>
    <t>ARIS LAB — EXCEL RULE LINK</t>
  </si>
  <si>
    <t>STEP</t>
  </si>
  <si>
    <t>ARIS LOCATION</t>
  </si>
  <si>
    <t>ACTION</t>
  </si>
  <si>
    <t>VERIFY</t>
  </si>
  <si>
    <t>Application launcher → Documents</t>
  </si>
  <si>
    <t>Create or select a folder such as Insurance / Business Rules.</t>
  </si>
  <si>
    <t>Folder is accessible.</t>
  </si>
  <si>
    <t>Documents → Upload</t>
  </si>
  <si>
    <t>Upload this Underwriting_Rules.xlsx workbook; provide a title if prompted.</t>
  </si>
  <si>
    <t>File appears in document list.</t>
  </si>
  <si>
    <t>Application launcher → Models and objects</t>
  </si>
  <si>
    <t>Open your existing UnderwritingV1 BPMN diagram.</t>
  </si>
  <si>
    <t>Diagram opens in editing mode.</t>
  </si>
  <si>
    <t>BPMN task</t>
  </si>
  <si>
    <t>Create/select 'Determine Underwriting Eligibility' as a Business Rule Task.</t>
  </si>
  <si>
    <t>Rule-task marker visible.</t>
  </si>
  <si>
    <t>Task properties / More attributes / Documents</t>
  </si>
  <si>
    <t>Look for document/ARIS document storage Link or a related-policy attachment option.</t>
  </si>
  <si>
    <t>A document selection field is available.</t>
  </si>
  <si>
    <t>Select document</t>
  </si>
  <si>
    <t>Choose the uploaded workbook and save the task/model.</t>
  </si>
  <si>
    <t>Document appears on task detail or properties.</t>
  </si>
  <si>
    <t>Published content</t>
  </si>
  <si>
    <t>Publish as needed; open the task and verify document link.</t>
  </si>
  <si>
    <t>Workbook can be opened.</t>
  </si>
  <si>
    <t>If link option missing</t>
  </si>
  <si>
    <t>Use task description and a copied stable document URL if allowed; otherwise request feature/permission.</t>
  </si>
  <si>
    <t>Document reference is traceable.</t>
  </si>
  <si>
    <t>NOTE: Link documents; do not use 'Assignment' (for ARIS model-to-model linking). A linked Excel file does not execute decision logic.</t>
  </si>
  <si>
    <t>Risk Assessment RULEBOOK</t>
  </si>
  <si>
    <t>Risk Factors</t>
  </si>
  <si>
    <t>Example Business Rule</t>
  </si>
  <si>
    <t>Applicant Age</t>
  </si>
  <si>
    <t>Sum Insured</t>
  </si>
  <si>
    <t>Claims History</t>
  </si>
  <si>
    <t>Occupation</t>
  </si>
  <si>
    <t>R5</t>
  </si>
  <si>
    <t>Medical Declaration</t>
  </si>
  <si>
    <t>Over 60 years</t>
  </si>
  <si>
    <t>Above Rs 50 lakhs</t>
  </si>
  <si>
    <t>3 or more claims</t>
  </si>
  <si>
    <t>High Risk Category</t>
  </si>
  <si>
    <t>Serious condition declared</t>
  </si>
  <si>
    <t>Operator</t>
  </si>
  <si>
    <t>Threshold</t>
  </si>
  <si>
    <t xml:space="preserve">&gt; </t>
  </si>
  <si>
    <t>&gt;</t>
  </si>
  <si>
    <t>Maximum Points</t>
  </si>
  <si>
    <t>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</si>
</sst>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sz val="10"/>
      <color rgb="FF17324D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45399"/>
      <name val="Carlito"/>
    </font>
    <font>
      <sz val="11"/>
      <color rgb="FF854D0E"/>
      <name val="Carlito"/>
    </font>
    <font>
      <sz val="11"/>
      <color rgb="FF64748B"/>
      <name val="Carlito"/>
    </font>
    <font>
      <b/>
      <sz val="11"/>
      <color rgb="FF166534"/>
      <name val="Carlito"/>
    </font>
    <font>
      <b/>
      <sz val="11"/>
      <color rgb="FF17324D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4F7"/>
      </patternFill>
    </fill>
    <fill>
      <patternFill patternType="solid">
        <fgColor rgb="FF0E7490"/>
      </patternFill>
    </fill>
    <fill>
      <patternFill patternType="solid">
        <fgColor rgb="FFF3F6FA"/>
      </patternFill>
    </fill>
    <fill>
      <patternFill patternType="solid">
        <fgColor rgb="FFE3F6E8"/>
      </patternFill>
    </fill>
    <fill>
      <patternFill patternType="solid">
        <fgColor rgb="FFFDE8E7"/>
      </patternFill>
    </fill>
    <fill>
      <patternFill patternType="solid">
        <fgColor rgb="FFEAF5FF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9" fillId="3" borderId="0" xfId="0" applyFont="1" applyFill="1"/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9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6" fillId="9" borderId="0" xfId="0" applyFont="1" applyFill="1" applyAlignment="1">
      <alignment wrapText="1"/>
    </xf>
  </cellXfs>
  <cellStyles count="1">
    <cellStyle name="Normal" xfId="0" builtinId="0"/>
  </cellStyles>
  <dxfs count="5">
    <dxf>
      <font>
        <color rgb="FFB42318"/>
      </font>
      <fill>
        <patternFill patternType="solid">
          <bgColor rgb="FFFDE8E7"/>
        </patternFill>
      </fill>
    </dxf>
    <dxf>
      <font>
        <color rgb="FF166534"/>
      </font>
      <fill>
        <patternFill patternType="solid">
          <bgColor rgb="FFE3F6E8"/>
        </patternFill>
      </fill>
    </dxf>
    <dxf>
      <font>
        <b/>
        <color rgb="FF854D0E"/>
      </font>
      <fill>
        <patternFill patternType="solid">
          <bgColor rgb="FFFFF4D6"/>
        </patternFill>
      </fill>
    </dxf>
    <dxf>
      <font>
        <b/>
        <color rgb="FFB42318"/>
      </font>
      <fill>
        <patternFill patternType="solid">
          <bgColor rgb="FFFDE8E7"/>
        </patternFill>
      </fill>
    </dxf>
    <dxf>
      <font>
        <b/>
        <color rgb="FF166534"/>
      </font>
      <fill>
        <patternFill patternType="solid">
          <bgColor rgb="FFE3F6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4" topLeftCell="A5" activePane="bottomLeft" state="frozen"/>
      <selection pane="bottomLeft" activeCell="L10" sqref="L10"/>
    </sheetView>
  </sheetViews>
  <sheetFormatPr defaultRowHeight="14"/>
  <cols>
    <col min="1" max="1" width="12" customWidth="1"/>
    <col min="2" max="2" width="24" customWidth="1"/>
    <col min="3" max="3" width="27" customWidth="1"/>
    <col min="4" max="4" width="30" customWidth="1"/>
    <col min="5" max="5" width="19" customWidth="1"/>
    <col min="6" max="6" width="4" customWidth="1"/>
    <col min="7" max="7" width="39" customWidth="1"/>
    <col min="8" max="8" width="16" customWidth="1"/>
    <col min="9" max="9" width="12.1640625" customWidth="1"/>
    <col min="10" max="10" width="25.08203125" customWidth="1"/>
  </cols>
  <sheetData>
    <row r="1" spans="1:10" ht="38" customHeight="1">
      <c r="A1" s="17" t="s">
        <v>71</v>
      </c>
      <c r="B1" s="17"/>
      <c r="C1" s="17"/>
      <c r="D1" s="17"/>
      <c r="E1" s="17"/>
      <c r="F1" s="17"/>
      <c r="G1" s="17"/>
      <c r="H1" s="17"/>
    </row>
    <row r="2" spans="1:10" ht="31" customHeight="1">
      <c r="A2" s="18" t="s">
        <v>0</v>
      </c>
      <c r="B2" s="18"/>
      <c r="C2" s="18"/>
      <c r="D2" s="18"/>
      <c r="E2" s="18"/>
      <c r="F2" s="18"/>
      <c r="G2" s="18"/>
      <c r="H2" s="18"/>
    </row>
    <row r="4" spans="1:10" ht="35" customHeight="1">
      <c r="A4" s="5" t="s">
        <v>1</v>
      </c>
      <c r="B4" s="5" t="s">
        <v>2</v>
      </c>
      <c r="C4" s="5" t="s">
        <v>72</v>
      </c>
      <c r="D4" s="5" t="s">
        <v>73</v>
      </c>
      <c r="E4" s="5" t="s">
        <v>3</v>
      </c>
      <c r="G4" s="5" t="s">
        <v>4</v>
      </c>
      <c r="H4" s="5" t="s">
        <v>85</v>
      </c>
      <c r="I4" s="5" t="s">
        <v>86</v>
      </c>
      <c r="J4" s="5" t="s">
        <v>89</v>
      </c>
    </row>
    <row r="5" spans="1:10" ht="36" customHeight="1">
      <c r="A5" s="7" t="s">
        <v>6</v>
      </c>
      <c r="B5" s="7" t="s">
        <v>10</v>
      </c>
      <c r="C5" s="7" t="s">
        <v>74</v>
      </c>
      <c r="D5" s="7" t="s">
        <v>80</v>
      </c>
      <c r="E5" s="8" t="s">
        <v>14</v>
      </c>
      <c r="G5" s="6" t="s">
        <v>74</v>
      </c>
      <c r="H5" s="11" t="s">
        <v>87</v>
      </c>
      <c r="I5">
        <v>60</v>
      </c>
      <c r="J5">
        <v>7</v>
      </c>
    </row>
    <row r="6" spans="1:10" ht="36" customHeight="1">
      <c r="A6" s="6" t="s">
        <v>9</v>
      </c>
      <c r="B6" s="6" t="s">
        <v>10</v>
      </c>
      <c r="C6" s="6" t="s">
        <v>75</v>
      </c>
      <c r="D6" s="6" t="s">
        <v>81</v>
      </c>
      <c r="E6" s="9" t="s">
        <v>11</v>
      </c>
      <c r="G6" s="6" t="s">
        <v>76</v>
      </c>
      <c r="H6" s="11" t="s">
        <v>87</v>
      </c>
      <c r="I6">
        <v>2</v>
      </c>
      <c r="J6">
        <v>8</v>
      </c>
    </row>
    <row r="7" spans="1:10" ht="36" customHeight="1">
      <c r="A7" s="7" t="s">
        <v>12</v>
      </c>
      <c r="B7" s="7" t="s">
        <v>10</v>
      </c>
      <c r="C7" s="7" t="s">
        <v>76</v>
      </c>
      <c r="D7" s="7" t="s">
        <v>82</v>
      </c>
      <c r="E7" s="8" t="s">
        <v>14</v>
      </c>
      <c r="G7" s="6" t="s">
        <v>77</v>
      </c>
      <c r="H7" s="11" t="s">
        <v>88</v>
      </c>
      <c r="I7">
        <v>1</v>
      </c>
      <c r="J7">
        <v>8</v>
      </c>
    </row>
    <row r="8" spans="1:10" ht="38" customHeight="1">
      <c r="A8" s="6" t="s">
        <v>13</v>
      </c>
      <c r="B8" s="6" t="s">
        <v>10</v>
      </c>
      <c r="C8" s="6" t="s">
        <v>77</v>
      </c>
      <c r="D8" s="6" t="s">
        <v>83</v>
      </c>
      <c r="E8" s="10" t="s">
        <v>14</v>
      </c>
      <c r="G8" s="6" t="s">
        <v>90</v>
      </c>
      <c r="H8" s="11" t="s">
        <v>88</v>
      </c>
      <c r="I8">
        <v>1</v>
      </c>
      <c r="J8">
        <v>8</v>
      </c>
    </row>
    <row r="9" spans="1:10" ht="38" customHeight="1">
      <c r="A9" s="6" t="s">
        <v>78</v>
      </c>
      <c r="B9" s="6" t="s">
        <v>10</v>
      </c>
      <c r="C9" s="6" t="s">
        <v>79</v>
      </c>
      <c r="D9" s="6" t="s">
        <v>84</v>
      </c>
      <c r="E9" s="10" t="s">
        <v>14</v>
      </c>
      <c r="G9" s="6" t="s">
        <v>75</v>
      </c>
      <c r="H9" s="11" t="s">
        <v>88</v>
      </c>
      <c r="I9">
        <v>3</v>
      </c>
      <c r="J9">
        <v>5</v>
      </c>
    </row>
    <row r="11" spans="1:10" ht="40" customHeight="1">
      <c r="A11" s="19" t="s">
        <v>15</v>
      </c>
      <c r="B11" s="19"/>
      <c r="C11" s="19"/>
      <c r="D11" s="19"/>
      <c r="E11" s="19"/>
      <c r="F11" s="19"/>
      <c r="G11" s="19"/>
      <c r="H11" s="19"/>
      <c r="J11">
        <f>SUM(J5:J9)</f>
        <v>36</v>
      </c>
    </row>
    <row r="13" spans="1:10" ht="44" customHeight="1">
      <c r="A13" s="20" t="s">
        <v>16</v>
      </c>
      <c r="B13" s="20"/>
      <c r="C13" s="20"/>
      <c r="D13" s="20"/>
      <c r="E13" s="20"/>
      <c r="F13" s="20"/>
      <c r="G13" s="20"/>
      <c r="H13" s="20"/>
    </row>
  </sheetData>
  <mergeCells count="4">
    <mergeCell ref="A1:H1"/>
    <mergeCell ref="A2:H2"/>
    <mergeCell ref="A11:H11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5" topLeftCell="A6" activePane="bottomLeft" state="frozen"/>
      <selection pane="bottomLeft"/>
    </sheetView>
  </sheetViews>
  <sheetFormatPr defaultRowHeight="14"/>
  <cols>
    <col min="1" max="1" width="34" customWidth="1"/>
    <col min="2" max="2" width="19" customWidth="1"/>
    <col min="3" max="7" width="18" customWidth="1"/>
  </cols>
  <sheetData>
    <row r="1" spans="1:7" ht="38" customHeight="1">
      <c r="A1" s="17" t="s">
        <v>17</v>
      </c>
      <c r="B1" s="17"/>
      <c r="C1" s="17"/>
      <c r="D1" s="17"/>
      <c r="E1" s="17"/>
      <c r="F1" s="17"/>
      <c r="G1" s="1"/>
    </row>
    <row r="2" spans="1:7" ht="31" customHeight="1">
      <c r="A2" s="18" t="s">
        <v>18</v>
      </c>
      <c r="B2" s="18"/>
      <c r="C2" s="18"/>
      <c r="D2" s="18"/>
      <c r="E2" s="18"/>
      <c r="F2" s="18"/>
      <c r="G2" s="2"/>
    </row>
    <row r="5" spans="1:7" ht="27" customHeight="1">
      <c r="A5" s="3" t="s">
        <v>19</v>
      </c>
      <c r="B5" s="3" t="s">
        <v>5</v>
      </c>
    </row>
    <row r="6" spans="1:7" ht="34" customHeight="1">
      <c r="A6" s="7" t="s">
        <v>20</v>
      </c>
      <c r="B6" s="12" t="s">
        <v>10</v>
      </c>
    </row>
    <row r="7" spans="1:7" ht="34" customHeight="1">
      <c r="A7" s="7" t="s">
        <v>21</v>
      </c>
      <c r="B7" s="12">
        <v>5</v>
      </c>
    </row>
    <row r="8" spans="1:7" ht="34" customHeight="1">
      <c r="A8" s="7" t="s">
        <v>22</v>
      </c>
      <c r="B8" s="12">
        <v>0</v>
      </c>
    </row>
    <row r="10" spans="1:7" ht="36" customHeight="1">
      <c r="A10" s="13" t="s">
        <v>23</v>
      </c>
      <c r="B10" s="13" t="str">
        <f>IF(NOT(AND(OR(B6="Yes",B6="No"),ISNUMBER(B7),ISNUMBER(B8))),"INVALID INPUT",IF(OR(B7&lt;0,B8&lt;0,MOD(B7,1)&lt;&gt;0,MOD(B8,1)&lt;&gt;0),"INVALID INPUT",IF(B6="No","REFER",IF(B7&gt;'Decision Rules'!$H$5,"REJECT",IF(B8&gt;'Decision Rules'!$H$6,"REFER","APPROVE")))))</f>
        <v>APPROVE</v>
      </c>
    </row>
    <row r="12" spans="1:7" ht="32" customHeight="1">
      <c r="A12" s="14" t="s">
        <v>24</v>
      </c>
      <c r="B12" s="14" t="str">
        <f>IF(OR(B10="INVALID INPUT",B10="INPUT REQUIRED"),"-",IF(B6="No","R1",IF(B7&gt;'Decision Rules'!$H$5,"R4",IF(B8&gt;'Decision Rules'!$H$6,"R3","R2"))))</f>
        <v>R2</v>
      </c>
    </row>
    <row r="15" spans="1:7" ht="30" customHeight="1">
      <c r="A15" s="4" t="s">
        <v>25</v>
      </c>
      <c r="B15" s="4" t="s">
        <v>26</v>
      </c>
      <c r="C15" s="4" t="s">
        <v>27</v>
      </c>
      <c r="D15" s="4" t="s">
        <v>28</v>
      </c>
      <c r="E15" s="4" t="s">
        <v>29</v>
      </c>
      <c r="F15" s="4" t="s">
        <v>30</v>
      </c>
      <c r="G15" s="4" t="s">
        <v>31</v>
      </c>
    </row>
    <row r="16" spans="1:7" ht="26" customHeight="1">
      <c r="A16" s="16" t="s">
        <v>32</v>
      </c>
      <c r="B16" s="16" t="s">
        <v>7</v>
      </c>
      <c r="C16" s="16">
        <v>3</v>
      </c>
      <c r="D16" s="16">
        <v>0</v>
      </c>
      <c r="E16" s="16" t="s">
        <v>8</v>
      </c>
      <c r="F16" s="16" t="str">
        <f>IF(B16="No","REFER",IF(C16&gt;'Decision Rules'!$H$5,"REJECT",IF(D16&gt;'Decision Rules'!$H$6,"REFER","APPROVE")))</f>
        <v>REFER</v>
      </c>
      <c r="G16" s="16" t="str">
        <f t="shared" ref="G16:G23" si="0">IF(E16=F16,"PASS","FAIL")</f>
        <v>PASS</v>
      </c>
    </row>
    <row r="17" spans="1:7" ht="26" customHeight="1">
      <c r="A17" s="15" t="s">
        <v>33</v>
      </c>
      <c r="B17" s="15" t="s">
        <v>10</v>
      </c>
      <c r="C17" s="15">
        <v>5</v>
      </c>
      <c r="D17" s="15">
        <v>0</v>
      </c>
      <c r="E17" s="15" t="s">
        <v>11</v>
      </c>
      <c r="F17" s="15" t="str">
        <f>IF(B17="No","REFER",IF(C17&gt;'Decision Rules'!$H$5,"REJECT",IF(D17&gt;'Decision Rules'!$H$6,"REFER","APPROVE")))</f>
        <v>APPROVE</v>
      </c>
      <c r="G17" s="15" t="str">
        <f t="shared" si="0"/>
        <v>PASS</v>
      </c>
    </row>
    <row r="18" spans="1:7" ht="26" customHeight="1">
      <c r="A18" s="16" t="s">
        <v>34</v>
      </c>
      <c r="B18" s="16" t="s">
        <v>10</v>
      </c>
      <c r="C18" s="16">
        <v>10</v>
      </c>
      <c r="D18" s="16">
        <v>1</v>
      </c>
      <c r="E18" s="16" t="s">
        <v>11</v>
      </c>
      <c r="F18" s="16" t="str">
        <f>IF(B18="No","REFER",IF(C18&gt;'Decision Rules'!$H$5,"REJECT",IF(D18&gt;'Decision Rules'!$H$6,"REFER","APPROVE")))</f>
        <v>APPROVE</v>
      </c>
      <c r="G18" s="16" t="str">
        <f t="shared" si="0"/>
        <v>PASS</v>
      </c>
    </row>
    <row r="19" spans="1:7" ht="26" customHeight="1">
      <c r="A19" s="15" t="s">
        <v>35</v>
      </c>
      <c r="B19" s="15" t="s">
        <v>10</v>
      </c>
      <c r="C19" s="15">
        <v>5</v>
      </c>
      <c r="D19" s="15">
        <v>2</v>
      </c>
      <c r="E19" s="15" t="s">
        <v>8</v>
      </c>
      <c r="F19" s="15" t="str">
        <f>IF(B19="No","REFER",IF(C19&gt;'Decision Rules'!$H$5,"REJECT",IF(D19&gt;'Decision Rules'!$H$6,"REFER","APPROVE")))</f>
        <v>APPROVE</v>
      </c>
      <c r="G19" s="15" t="str">
        <f t="shared" si="0"/>
        <v>FAIL</v>
      </c>
    </row>
    <row r="20" spans="1:7" ht="26" customHeight="1">
      <c r="A20" s="16" t="s">
        <v>36</v>
      </c>
      <c r="B20" s="16" t="s">
        <v>10</v>
      </c>
      <c r="C20" s="16">
        <v>12</v>
      </c>
      <c r="D20" s="16">
        <v>0</v>
      </c>
      <c r="E20" s="16" t="s">
        <v>14</v>
      </c>
      <c r="F20" s="16" t="str">
        <f>IF(B20="No","REFER",IF(C20&gt;'Decision Rules'!$H$5,"REJECT",IF(D20&gt;'Decision Rules'!$H$6,"REFER","APPROVE")))</f>
        <v>APPROVE</v>
      </c>
      <c r="G20" s="16" t="str">
        <f t="shared" si="0"/>
        <v>FAIL</v>
      </c>
    </row>
    <row r="21" spans="1:7" ht="26" customHeight="1">
      <c r="A21" s="15" t="s">
        <v>37</v>
      </c>
      <c r="B21" s="15" t="s">
        <v>7</v>
      </c>
      <c r="C21" s="15">
        <v>15</v>
      </c>
      <c r="D21" s="15">
        <v>3</v>
      </c>
      <c r="E21" s="15" t="s">
        <v>8</v>
      </c>
      <c r="F21" s="15" t="str">
        <f>IF(B21="No","REFER",IF(C21&gt;'Decision Rules'!$H$5,"REJECT",IF(D21&gt;'Decision Rules'!$H$6,"REFER","APPROVE")))</f>
        <v>REFER</v>
      </c>
      <c r="G21" s="15" t="str">
        <f t="shared" si="0"/>
        <v>PASS</v>
      </c>
    </row>
    <row r="22" spans="1:7" ht="26" customHeight="1">
      <c r="A22" s="16" t="s">
        <v>38</v>
      </c>
      <c r="B22" s="16" t="s">
        <v>10</v>
      </c>
      <c r="C22" s="16">
        <v>0</v>
      </c>
      <c r="D22" s="16">
        <v>0</v>
      </c>
      <c r="E22" s="16" t="s">
        <v>11</v>
      </c>
      <c r="F22" s="16" t="str">
        <f>IF(B22="No","REFER",IF(C22&gt;'Decision Rules'!$H$5,"REJECT",IF(D22&gt;'Decision Rules'!$H$6,"REFER","APPROVE")))</f>
        <v>APPROVE</v>
      </c>
      <c r="G22" s="16" t="str">
        <f t="shared" si="0"/>
        <v>PASS</v>
      </c>
    </row>
    <row r="23" spans="1:7" ht="26" customHeight="1">
      <c r="A23" s="15" t="s">
        <v>39</v>
      </c>
      <c r="B23" s="15" t="s">
        <v>10</v>
      </c>
      <c r="C23" s="15">
        <v>11</v>
      </c>
      <c r="D23" s="15">
        <v>2</v>
      </c>
      <c r="E23" s="15" t="s">
        <v>14</v>
      </c>
      <c r="F23" s="15" t="str">
        <f>IF(B23="No","REFER",IF(C23&gt;'Decision Rules'!$H$5,"REJECT",IF(D23&gt;'Decision Rules'!$H$6,"REFER","APPROVE")))</f>
        <v>APPROVE</v>
      </c>
      <c r="G23" s="15" t="str">
        <f t="shared" si="0"/>
        <v>FAIL</v>
      </c>
    </row>
    <row r="25" spans="1:7" ht="37" customHeight="1">
      <c r="A25" s="21" t="s">
        <v>40</v>
      </c>
      <c r="B25" s="21"/>
      <c r="C25" s="21"/>
      <c r="D25" s="21"/>
      <c r="E25" s="21"/>
      <c r="F25" s="21"/>
      <c r="G25" s="21"/>
    </row>
  </sheetData>
  <mergeCells count="3">
    <mergeCell ref="A1:F1"/>
    <mergeCell ref="A2:F2"/>
    <mergeCell ref="A25:G25"/>
  </mergeCells>
  <conditionalFormatting sqref="B10">
    <cfRule type="expression" dxfId="4" priority="1">
      <formula>B10="APPROVE"</formula>
    </cfRule>
    <cfRule type="expression" dxfId="3" priority="2">
      <formula>B10="REJECT"</formula>
    </cfRule>
    <cfRule type="expression" dxfId="2" priority="3">
      <formula>B10="REFER"</formula>
    </cfRule>
  </conditionalFormatting>
  <conditionalFormatting sqref="G16:G23">
    <cfRule type="expression" dxfId="1" priority="4">
      <formula>G16="PASS"</formula>
    </cfRule>
    <cfRule type="expression" dxfId="0" priority="5">
      <formula>G16="FAIL"</formula>
    </cfRule>
  </conditionalFormatting>
  <dataValidations count="1">
    <dataValidation type="list" sqref="B6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3" topLeftCell="A4" activePane="bottomLeft" state="frozen"/>
      <selection pane="bottomLeft"/>
    </sheetView>
  </sheetViews>
  <sheetFormatPr defaultRowHeight="14"/>
  <cols>
    <col min="1" max="1" width="8" customWidth="1"/>
    <col min="2" max="2" width="42" customWidth="1"/>
    <col min="3" max="3" width="90" customWidth="1"/>
    <col min="4" max="4" width="43" customWidth="1"/>
    <col min="5" max="6" width="8" customWidth="1"/>
  </cols>
  <sheetData>
    <row r="1" spans="1:6" ht="38" customHeight="1">
      <c r="A1" s="17" t="s">
        <v>41</v>
      </c>
      <c r="B1" s="17"/>
      <c r="C1" s="17"/>
      <c r="D1" s="17"/>
      <c r="E1" s="17"/>
      <c r="F1" s="17"/>
    </row>
    <row r="2" spans="1:6" ht="31" customHeight="1">
      <c r="A2" s="2"/>
      <c r="B2" s="2"/>
      <c r="C2" s="2"/>
      <c r="D2" s="2"/>
      <c r="E2" s="2"/>
      <c r="F2" s="2"/>
    </row>
    <row r="3" spans="1:6" ht="32" customHeight="1">
      <c r="A3" s="3" t="s">
        <v>42</v>
      </c>
      <c r="B3" s="3" t="s">
        <v>43</v>
      </c>
      <c r="C3" s="3" t="s">
        <v>44</v>
      </c>
      <c r="D3" s="3" t="s">
        <v>45</v>
      </c>
    </row>
    <row r="4" spans="1:6" ht="60" customHeight="1">
      <c r="A4" s="7">
        <v>1</v>
      </c>
      <c r="B4" s="7" t="s">
        <v>46</v>
      </c>
      <c r="C4" s="7" t="s">
        <v>47</v>
      </c>
      <c r="D4" s="7" t="s">
        <v>48</v>
      </c>
    </row>
    <row r="5" spans="1:6" ht="60" customHeight="1">
      <c r="A5" s="6">
        <v>2</v>
      </c>
      <c r="B5" s="6" t="s">
        <v>49</v>
      </c>
      <c r="C5" s="6" t="s">
        <v>50</v>
      </c>
      <c r="D5" s="6" t="s">
        <v>51</v>
      </c>
    </row>
    <row r="6" spans="1:6" ht="60" customHeight="1">
      <c r="A6" s="7">
        <v>3</v>
      </c>
      <c r="B6" s="7" t="s">
        <v>52</v>
      </c>
      <c r="C6" s="7" t="s">
        <v>53</v>
      </c>
      <c r="D6" s="7" t="s">
        <v>54</v>
      </c>
    </row>
    <row r="7" spans="1:6" ht="60" customHeight="1">
      <c r="A7" s="6">
        <v>4</v>
      </c>
      <c r="B7" s="6" t="s">
        <v>55</v>
      </c>
      <c r="C7" s="6" t="s">
        <v>56</v>
      </c>
      <c r="D7" s="6" t="s">
        <v>57</v>
      </c>
    </row>
    <row r="8" spans="1:6" ht="60" customHeight="1">
      <c r="A8" s="7">
        <v>5</v>
      </c>
      <c r="B8" s="7" t="s">
        <v>58</v>
      </c>
      <c r="C8" s="7" t="s">
        <v>59</v>
      </c>
      <c r="D8" s="7" t="s">
        <v>60</v>
      </c>
    </row>
    <row r="9" spans="1:6" ht="60" customHeight="1">
      <c r="A9" s="6">
        <v>6</v>
      </c>
      <c r="B9" s="6" t="s">
        <v>61</v>
      </c>
      <c r="C9" s="6" t="s">
        <v>62</v>
      </c>
      <c r="D9" s="6" t="s">
        <v>63</v>
      </c>
    </row>
    <row r="10" spans="1:6" ht="60" customHeight="1">
      <c r="A10" s="7">
        <v>7</v>
      </c>
      <c r="B10" s="7" t="s">
        <v>64</v>
      </c>
      <c r="C10" s="7" t="s">
        <v>65</v>
      </c>
      <c r="D10" s="7" t="s">
        <v>66</v>
      </c>
    </row>
    <row r="11" spans="1:6" ht="60" customHeight="1">
      <c r="A11" s="6">
        <v>8</v>
      </c>
      <c r="B11" s="6" t="s">
        <v>67</v>
      </c>
      <c r="C11" s="6" t="s">
        <v>68</v>
      </c>
      <c r="D11" s="6" t="s">
        <v>69</v>
      </c>
    </row>
    <row r="13" spans="1:6" ht="44" customHeight="1">
      <c r="A13" s="21" t="s">
        <v>70</v>
      </c>
      <c r="B13" s="21"/>
      <c r="C13" s="21"/>
      <c r="D13" s="21"/>
      <c r="E13" s="21"/>
      <c r="F13" s="21"/>
    </row>
  </sheetData>
  <mergeCells count="2">
    <mergeCell ref="A1:F1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Decision Rules</vt:lpstr>
      <vt:lpstr>Try a Decision</vt:lpstr>
      <vt:lpstr>ARIS Lab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Parameswari Ettiappan</dc:creator>
  <cp:lastModifiedBy>Parameswari Ettiappan</cp:lastModifiedBy>
  <dcterms:created xsi:type="dcterms:W3CDTF">2026-10-27T03:53:34Z</dcterms:created>
  <dcterms:modified xsi:type="dcterms:W3CDTF">2026-10-27T04:06:40Z</dcterms:modified>
</cp:coreProperties>
</file>