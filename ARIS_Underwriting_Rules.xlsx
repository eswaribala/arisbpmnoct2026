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c63fb56f7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Rules" sheetId="1" r:id="R90ff77c3082943c8"/>
    <x:sheet xmlns:r="http://schemas.openxmlformats.org/officeDocument/2006/relationships" name="Try a Decision" sheetId="2" r:id="R3b7205c0f2e54c2a"/>
    <x:sheet xmlns:r="http://schemas.openxmlformats.org/officeDocument/2006/relationships" name="ARIS Lab Steps" sheetId="3" r:id="R99470fca1150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45399"/>
      <x:name val="Carlito"/>
    </x:font>
    <x:font>
      <x:sz val="11"/>
      <x:color rgb="FF854D0E"/>
      <x:name val="Carlito"/>
    </x:font>
    <x:font>
      <x:sz val="11"/>
      <x:color rgb="FF64748B"/>
      <x:name val="Carlito"/>
    </x:font>
    <x:font>
      <x:b/>
      <x:sz val="11"/>
      <x:color rgb="FF166534"/>
      <x:name val="Carlito"/>
    </x:font>
    <x:font>
      <x:b/>
      <x:sz val="11"/>
      <x:color rgb="FF17324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7"/>
      </x:patternFill>
    </x:fill>
    <x:fill>
      <x:patternFill patternType="solid">
        <x:fgColor rgb="FF0E7490"/>
      </x:patternFill>
    </x:fill>
    <x:fill>
      <x:patternFill patternType="solid">
        <x:fgColor rgb="FFF3F6FA"/>
      </x:patternFill>
    </x:fill>
    <x:fill>
      <x:patternFill patternType="solid">
        <x:fgColor rgb="FFE3F6E8"/>
      </x:patternFill>
    </x:fill>
    <x:fill>
      <x:patternFill patternType="solid">
        <x:fgColor rgb="FFFDE8E7"/>
      </x:patternFill>
    </x:fill>
    <x:fill>
      <x:patternFill patternType="solid">
        <x:fgColor rgb="FFEAF5FF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E3F6E8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854D0E"/>
      </x:font>
      <x:fill>
        <x:patternFill patternType="solid">
          <x:bgColor rgb="FFFFF4D6"/>
        </x:patternFill>
      </x:fill>
    </x:dxf>
    <x:dxf>
      <x:font>
        <x:color rgb="FF166534"/>
      </x:font>
      <x:fill>
        <x:patternFill patternType="solid">
          <x:bgColor rgb="FFE3F6E8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1ffce19ee640eb" /><Relationship Type="http://schemas.openxmlformats.org/officeDocument/2006/relationships/theme" Target="/xl/theme/theme1.xml" Id="R1412d23906bb439d" /><Relationship Type="http://schemas.openxmlformats.org/officeDocument/2006/relationships/sharedStrings" Target="/xl/sharedStrings.xml" Id="Re7226f8be5d2449a" /><Relationship Type="http://schemas.openxmlformats.org/officeDocument/2006/relationships/worksheet" Target="/xl/worksheets/sheet1.xml" Id="R90ff77c3082943c8" /><Relationship Type="http://schemas.openxmlformats.org/officeDocument/2006/relationships/worksheet" Target="/xl/worksheets/sheet2.xml" Id="R3b7205c0f2e54c2a" /><Relationship Type="http://schemas.openxmlformats.org/officeDocument/2006/relationships/worksheet" Target="/xl/worksheets/sheet3.xml" Id="R99470fca11504e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7" hidden="0" customWidth="1"/>
    <x:col min="4" max="4" width="30" hidden="0" customWidth="1"/>
    <x:col min="5" max="5" width="19" hidden="0" customWidth="1"/>
    <x:col min="6" max="6" width="4" hidden="0" customWidth="1"/>
    <x:col min="7" max="7" width="39" hidden="0" customWidth="1"/>
    <x:col min="8" max="8" width="16" hidden="0" customWidth="1"/>
  </x:cols>
  <x:sheetData>
    <x:row r="1" ht="38" customHeight="1">
      <x:c r="A1" s="4" t="str">
        <x:v>UNDERWRITING RULEBOOK</x:v>
      </x:c>
      <x:c r="B1" s="4"/>
      <x:c r="C1" s="4"/>
      <x:c r="D1" s="4"/>
      <x:c r="E1" s="4"/>
      <x:c r="F1" s="4"/>
      <x:c r="G1" s="4"/>
      <x:c r="H1" s="4"/>
    </x:row>
    <x:row r="2" ht="31" customHeight="1">
      <x:c r="A2" s="10" t="str">
        <x:v>External decision table • ARIS BPMN Business Rule Task • Training example only</x:v>
      </x:c>
      <x:c r="B2" s="10"/>
      <x:c r="C2" s="10"/>
      <x:c r="D2" s="10"/>
      <x:c r="E2" s="10"/>
      <x:c r="F2" s="10"/>
      <x:c r="G2" s="10"/>
      <x:c r="H2" s="10"/>
    </x:row>
    <x:row r="4" ht="35" customHeight="1">
      <x:c r="A4" s="17" t="str">
        <x:v>Rule ID</x:v>
      </x:c>
      <x:c r="B4" s="17" t="str">
        <x:v>Documents complete?</x:v>
      </x:c>
      <x:c r="C4" s="17" t="str">
        <x:v>Vehicle age (years)</x:v>
      </x:c>
      <x:c r="D4" s="17" t="str">
        <x:v>Claims in last 3 years</x:v>
      </x:c>
      <x:c r="E4" s="17" t="str">
        <x:v>Decision output</x:v>
      </x:c>
      <x:c r="G4" s="17" t="str">
        <x:v>CONTROL PARAMETER</x:v>
      </x:c>
      <x:c r="H4" s="17" t="str">
        <x:v>VALUE</x:v>
      </x:c>
    </x:row>
    <x:row r="5" ht="36" customHeight="1">
      <x:c r="A5" s="26" t="str">
        <x:v>R1</x:v>
      </x:c>
      <x:c r="B5" s="26" t="str">
        <x:v>No</x:v>
      </x:c>
      <x:c r="C5" s="26" t="str">
        <x:v>Any</x:v>
      </x:c>
      <x:c r="D5" s="26" t="str">
        <x:v>Any</x:v>
      </x:c>
      <x:c r="E5" s="28" t="str">
        <x:v>REFER</x:v>
      </x:c>
      <x:c r="G5" s="23" t="str">
        <x:v>Maximum vehicle age (years)</x:v>
      </x:c>
      <x:c r="H5" s="38" t="n">
        <x:v>10</x:v>
      </x:c>
    </x:row>
    <x:row r="6" ht="36" customHeight="1">
      <x:c r="A6" s="23" t="str">
        <x:v>R2</x:v>
      </x:c>
      <x:c r="B6" s="23" t="str">
        <x:v>Yes</x:v>
      </x:c>
      <x:c r="C6" s="23" t="str">
        <x:v>0 to max vehicle age</x:v>
      </x:c>
      <x:c r="D6" s="23" t="str">
        <x:v>0 to max claims</x:v>
      </x:c>
      <x:c r="E6" s="32" t="str">
        <x:v>APPROVE</x:v>
      </x:c>
      <x:c r="G6" s="23" t="str">
        <x:v>Maximum claims for auto-approval</x:v>
      </x:c>
      <x:c r="H6" s="38" t="n">
        <x:v>1</x:v>
      </x:c>
    </x:row>
    <x:row r="7" ht="36" customHeight="1">
      <x:c r="A7" s="26" t="str">
        <x:v>R3</x:v>
      </x:c>
      <x:c r="B7" s="26" t="str">
        <x:v>Yes</x:v>
      </x:c>
      <x:c r="C7" s="26" t="str">
        <x:v>0 to max vehicle age</x:v>
      </x:c>
      <x:c r="D7" s="26" t="str">
        <x:v>Above max claims</x:v>
      </x:c>
      <x:c r="E7" s="28" t="str">
        <x:v>REFER</x:v>
      </x:c>
      <x:c r="G7" s="23" t="str">
        <x:v>Rule version</x:v>
      </x:c>
      <x:c r="H7" s="23" t="str">
        <x:v>1.0</x:v>
      </x:c>
    </x:row>
    <x:row r="8" ht="38" customHeight="1">
      <x:c r="A8" s="23" t="str">
        <x:v>R4</x:v>
      </x:c>
      <x:c r="B8" s="23" t="str">
        <x:v>Yes</x:v>
      </x:c>
      <x:c r="C8" s="23" t="str">
        <x:v>Above max vehicle age</x:v>
      </x:c>
      <x:c r="D8" s="23" t="str">
        <x:v>Any</x:v>
      </x:c>
      <x:c r="E8" s="34" t="str">
        <x:v>REJECT</x:v>
      </x:c>
    </x:row>
    <x:row r="10" ht="40" customHeight="1">
      <x:c r="A10" s="45" t="str">
        <x:v>Rule priority: R1 before R4, then R3/R2. These four conditions cover valid, non-negative integer inputs.</x:v>
      </x:c>
      <x:c r="B10" s="45"/>
      <x:c r="C10" s="45"/>
      <x:c r="D10" s="45"/>
      <x:c r="E10" s="45"/>
      <x:c r="F10" s="45"/>
      <x:c r="G10" s="45"/>
      <x:c r="H10" s="45"/>
    </x:row>
    <x:row r="12" ht="44" customHeight="1">
      <x:c r="A12" s="53" t="str">
        <x:v>Scope: Motor insurance underwriting lab. Not an AXA production policy, real underwriting decision, or executable ARIS DMN model.</x:v>
      </x:c>
      <x:c r="B12" s="53"/>
      <x:c r="C12" s="53"/>
      <x:c r="D12" s="53"/>
      <x:c r="E12" s="53"/>
      <x:c r="F12" s="53"/>
      <x:c r="G12" s="53"/>
      <x:c r="H12" s="53"/>
    </x:row>
  </x:sheetData>
  <x:mergeCells>
    <x:mergeCell ref="A1:H1"/>
    <x:mergeCell ref="A2:H2"/>
    <x:mergeCell ref="A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8" customHeight="1">
      <x:c r="A1" s="4" t="str">
        <x:v>DECISION SIMULATOR</x:v>
      </x:c>
      <x:c r="B1" s="4"/>
      <x:c r="C1" s="4"/>
      <x:c r="D1" s="4"/>
      <x:c r="E1" s="4"/>
      <x:c r="F1" s="4"/>
      <x:c r="G1" s="4"/>
    </x:row>
    <x:row r="2" ht="31" customHeight="1">
      <x:c r="A2" s="10" t="str">
        <x:v>Change blue input cells to see the outcome from the workbook rules</x:v>
      </x:c>
      <x:c r="B2" s="10"/>
      <x:c r="C2" s="10"/>
      <x:c r="D2" s="10"/>
      <x:c r="E2" s="10"/>
      <x:c r="F2" s="10"/>
      <x:c r="G2" s="10"/>
    </x:row>
    <x:row r="5" ht="27" customHeight="1">
      <x:c r="A5" s="15" t="str">
        <x:v>INPUT</x:v>
      </x:c>
      <x:c r="B5" s="15" t="str">
        <x:v>VALUE</x:v>
      </x:c>
    </x:row>
    <x:row r="6" ht="34" customHeight="1">
      <x:c r="A6" s="26" t="str">
        <x:v>Documents complete? (Yes/No)</x:v>
      </x:c>
      <x:c r="B6" s="62" t="str">
        <x:v>Yes</x:v>
      </x:c>
    </x:row>
    <x:row r="7" ht="34" customHeight="1">
      <x:c r="A7" s="26" t="str">
        <x:v>Vehicle age (whole years)</x:v>
      </x:c>
      <x:c r="B7" s="62" t="n">
        <x:v>5</x:v>
      </x:c>
    </x:row>
    <x:row r="8" ht="34" customHeight="1">
      <x:c r="A8" s="26" t="str">
        <x:v>Claims last 3 years (whole number)</x:v>
      </x:c>
      <x:c r="B8" s="62" t="n">
        <x:v>0</x:v>
      </x:c>
    </x:row>
    <x:row r="10" ht="36" customHeight="1">
      <x:c r="A10" s="68" t="str">
        <x:v>DECISION OUTPUT</x:v>
      </x:c>
      <x:c r="B10" s="68" t="str">
        <x:f>IF(NOT(AND(OR(B6="Yes",B6="No"),ISNUMBER(B7),ISNUMBER(B8))),"INVALID INPUT",IF(OR(B7&lt;0,B8&lt;0,MOD(B7,1)&lt;&gt;0,MOD(B8,1)&lt;&gt;0),"INVALID INPUT",IF(B6="No","REFER",IF(B7&gt;'Decision Rules'!$H$5,"REJECT",IF(B8&gt;'Decision Rules'!$H$6,"REFER","APPROVE")))))</x:f>
        <x:v>APPROVE</x:v>
      </x:c>
    </x:row>
    <x:row r="12" ht="32" customHeight="1">
      <x:c r="A12" s="72" t="str">
        <x:v>MATCHED RULE</x:v>
      </x:c>
      <x:c r="B12" s="72" t="str">
        <x:f>IF(OR(B10="INVALID INPUT",B10="INPUT REQUIRED"),"-",IF(B6="No","R1",IF(B7&gt;'Decision Rules'!$H$5,"R4",IF(B8&gt;'Decision Rules'!$H$6,"R3","R2"))))</x:f>
        <x:v>R2</x:v>
      </x:c>
    </x:row>
    <x:row r="15" ht="30" customHeight="1">
      <x:c r="A15" s="16" t="str">
        <x:v>CASE</x:v>
      </x:c>
      <x:c r="B15" s="16" t="str">
        <x:v>Docs complete?</x:v>
      </x:c>
      <x:c r="C15" s="16" t="str">
        <x:v>Vehicle age</x:v>
      </x:c>
      <x:c r="D15" s="16" t="str">
        <x:v>Claims</x:v>
      </x:c>
      <x:c r="E15" s="16" t="str">
        <x:v>Expected</x:v>
      </x:c>
      <x:c r="F15" s="16" t="str">
        <x:v>Actual</x:v>
      </x:c>
      <x:c r="G15" s="16" t="str">
        <x:v>TEST STATUS</x:v>
      </x:c>
    </x:row>
    <x:row r="16" ht="26" customHeight="1">
      <x:c r="A16" s="76" t="str">
        <x:v>T01</x:v>
      </x:c>
      <x:c r="B16" s="76" t="str">
        <x:v>No</x:v>
      </x:c>
      <x:c r="C16" s="76" t="n">
        <x:v>3</x:v>
      </x:c>
      <x:c r="D16" s="76" t="n">
        <x:v>0</x:v>
      </x:c>
      <x:c r="E16" s="76" t="str">
        <x:v>REFER</x:v>
      </x:c>
      <x:c r="F16" s="76" t="str">
        <x:f>IF(B16="No","REFER",IF(C16&gt;'Decision Rules'!$H$5,"REJECT",IF(D16&gt;'Decision Rules'!$H$6,"REFER","APPROVE")))</x:f>
        <x:v>REFER</x:v>
      </x:c>
      <x:c r="G16" s="76" t="str">
        <x:f>IF(E16=F16,"PASS","FAIL")</x:f>
        <x:v>PASS</x:v>
      </x:c>
    </x:row>
    <x:row r="17" ht="26" customHeight="1">
      <x:c r="A17" s="74" t="str">
        <x:v>T02</x:v>
      </x:c>
      <x:c r="B17" s="74" t="str">
        <x:v>Yes</x:v>
      </x:c>
      <x:c r="C17" s="74" t="n">
        <x:v>5</x:v>
      </x:c>
      <x:c r="D17" s="74" t="n">
        <x:v>0</x:v>
      </x:c>
      <x:c r="E17" s="74" t="str">
        <x:v>APPROVE</x:v>
      </x:c>
      <x:c r="F17" s="74" t="str">
        <x:f>IF(B17="No","REFER",IF(C17&gt;'Decision Rules'!$H$5,"REJECT",IF(D17&gt;'Decision Rules'!$H$6,"REFER","APPROVE")))</x:f>
        <x:v>APPROVE</x:v>
      </x:c>
      <x:c r="G17" s="74" t="str">
        <x:f>IF(E17=F17,"PASS","FAIL")</x:f>
        <x:v>PASS</x:v>
      </x:c>
    </x:row>
    <x:row r="18" ht="26" customHeight="1">
      <x:c r="A18" s="76" t="str">
        <x:v>T03</x:v>
      </x:c>
      <x:c r="B18" s="76" t="str">
        <x:v>Yes</x:v>
      </x:c>
      <x:c r="C18" s="76" t="n">
        <x:v>10</x:v>
      </x:c>
      <x:c r="D18" s="76" t="n">
        <x:v>1</x:v>
      </x:c>
      <x:c r="E18" s="76" t="str">
        <x:v>APPROVE</x:v>
      </x:c>
      <x:c r="F18" s="76" t="str">
        <x:f>IF(B18="No","REFER",IF(C18&gt;'Decision Rules'!$H$5,"REJECT",IF(D18&gt;'Decision Rules'!$H$6,"REFER","APPROVE")))</x:f>
        <x:v>APPROVE</x:v>
      </x:c>
      <x:c r="G18" s="76" t="str">
        <x:f>IF(E18=F18,"PASS","FAIL")</x:f>
        <x:v>PASS</x:v>
      </x:c>
    </x:row>
    <x:row r="19" ht="26" customHeight="1">
      <x:c r="A19" s="74" t="str">
        <x:v>T04</x:v>
      </x:c>
      <x:c r="B19" s="74" t="str">
        <x:v>Yes</x:v>
      </x:c>
      <x:c r="C19" s="74" t="n">
        <x:v>5</x:v>
      </x:c>
      <x:c r="D19" s="74" t="n">
        <x:v>2</x:v>
      </x:c>
      <x:c r="E19" s="74" t="str">
        <x:v>REFER</x:v>
      </x:c>
      <x:c r="F19" s="74" t="str">
        <x:f>IF(B19="No","REFER",IF(C19&gt;'Decision Rules'!$H$5,"REJECT",IF(D19&gt;'Decision Rules'!$H$6,"REFER","APPROVE")))</x:f>
        <x:v>REFER</x:v>
      </x:c>
      <x:c r="G19" s="74" t="str">
        <x:f>IF(E19=F19,"PASS","FAIL")</x:f>
        <x:v>PASS</x:v>
      </x:c>
    </x:row>
    <x:row r="20" ht="26" customHeight="1">
      <x:c r="A20" s="76" t="str">
        <x:v>T05</x:v>
      </x:c>
      <x:c r="B20" s="76" t="str">
        <x:v>Yes</x:v>
      </x:c>
      <x:c r="C20" s="76" t="n">
        <x:v>12</x:v>
      </x:c>
      <x:c r="D20" s="76" t="n">
        <x:v>0</x:v>
      </x:c>
      <x:c r="E20" s="76" t="str">
        <x:v>REJECT</x:v>
      </x:c>
      <x:c r="F20" s="76" t="str">
        <x:f>IF(B20="No","REFER",IF(C20&gt;'Decision Rules'!$H$5,"REJECT",IF(D20&gt;'Decision Rules'!$H$6,"REFER","APPROVE")))</x:f>
        <x:v>REJECT</x:v>
      </x:c>
      <x:c r="G20" s="76" t="str">
        <x:f>IF(E20=F20,"PASS","FAIL")</x:f>
        <x:v>PASS</x:v>
      </x:c>
    </x:row>
    <x:row r="21" ht="26" customHeight="1">
      <x:c r="A21" s="74" t="str">
        <x:v>T06</x:v>
      </x:c>
      <x:c r="B21" s="74" t="str">
        <x:v>No</x:v>
      </x:c>
      <x:c r="C21" s="74" t="n">
        <x:v>15</x:v>
      </x:c>
      <x:c r="D21" s="74" t="n">
        <x:v>3</x:v>
      </x:c>
      <x:c r="E21" s="74" t="str">
        <x:v>REFER</x:v>
      </x:c>
      <x:c r="F21" s="74" t="str">
        <x:f>IF(B21="No","REFER",IF(C21&gt;'Decision Rules'!$H$5,"REJECT",IF(D21&gt;'Decision Rules'!$H$6,"REFER","APPROVE")))</x:f>
        <x:v>REFER</x:v>
      </x:c>
      <x:c r="G21" s="74" t="str">
        <x:f>IF(E21=F21,"PASS","FAIL")</x:f>
        <x:v>PASS</x:v>
      </x:c>
    </x:row>
    <x:row r="22" ht="26" customHeight="1">
      <x:c r="A22" s="76" t="str">
        <x:v>T07</x:v>
      </x:c>
      <x:c r="B22" s="76" t="str">
        <x:v>Yes</x:v>
      </x:c>
      <x:c r="C22" s="76" t="n">
        <x:v>0</x:v>
      </x:c>
      <x:c r="D22" s="76" t="n">
        <x:v>0</x:v>
      </x:c>
      <x:c r="E22" s="76" t="str">
        <x:v>APPROVE</x:v>
      </x:c>
      <x:c r="F22" s="76" t="str">
        <x:f>IF(B22="No","REFER",IF(C22&gt;'Decision Rules'!$H$5,"REJECT",IF(D22&gt;'Decision Rules'!$H$6,"REFER","APPROVE")))</x:f>
        <x:v>APPROVE</x:v>
      </x:c>
      <x:c r="G22" s="76" t="str">
        <x:f>IF(E22=F22,"PASS","FAIL")</x:f>
        <x:v>PASS</x:v>
      </x:c>
    </x:row>
    <x:row r="23" ht="26" customHeight="1">
      <x:c r="A23" s="74" t="str">
        <x:v>T08</x:v>
      </x:c>
      <x:c r="B23" s="74" t="str">
        <x:v>Yes</x:v>
      </x:c>
      <x:c r="C23" s="74" t="n">
        <x:v>11</x:v>
      </x:c>
      <x:c r="D23" s="74" t="n">
        <x:v>2</x:v>
      </x:c>
      <x:c r="E23" s="74" t="str">
        <x:v>REJECT</x:v>
      </x:c>
      <x:c r="F23" s="74" t="str">
        <x:f>IF(B23="No","REFER",IF(C23&gt;'Decision Rules'!$H$5,"REJECT",IF(D23&gt;'Decision Rules'!$H$6,"REFER","APPROVE")))</x:f>
        <x:v>REJECT</x:v>
      </x:c>
      <x:c r="G23" s="74" t="str">
        <x:f>IF(E23=F23,"PASS","FAIL")</x:f>
        <x:v>PASS</x:v>
      </x:c>
    </x:row>
    <x:row r="25" ht="37" customHeight="1">
      <x:c r="A25" s="44" t="str">
        <x:v>Illustrative rules only. This Excel calculator demonstrates logic; ARIS does not evaluate it just by linking the workbook.</x:v>
      </x:c>
      <x:c r="B25" s="44"/>
      <x:c r="C25" s="44"/>
      <x:c r="D25" s="44"/>
      <x:c r="E25" s="44"/>
      <x:c r="F25" s="44"/>
      <x:c r="G25" s="44"/>
    </x:row>
  </x:sheetData>
  <x:mergeCells>
    <x:mergeCell ref="A1:F1"/>
    <x:mergeCell ref="A2:F2"/>
    <x:mergeCell ref="A25:G25"/>
  </x:mergeCells>
  <x:conditionalFormatting sqref="B10:B10">
    <x:cfRule type="expression" dxfId="0" priority="1">
      <x:formula>B10="APPROVE"</x:formula>
    </x:cfRule>
    <x:cfRule type="expression" dxfId="1" priority="2">
      <x:formula>B10="REJECT"</x:formula>
    </x:cfRule>
    <x:cfRule type="expression" dxfId="2" priority="3">
      <x:formula>B10="REFER"</x:formula>
    </x:cfRule>
  </x:conditionalFormatting>
  <x:conditionalFormatting sqref="G16:G23">
    <x:cfRule type="expression" dxfId="3" priority="4">
      <x:formula>G16="PASS"</x:formula>
    </x:cfRule>
    <x:cfRule type="expression" dxfId="4" priority="5">
      <x:formula>G16="FAIL"</x:formula>
    </x:cfRule>
  </x:conditionalFormatting>
  <x:dataValidations count="1">
    <x:dataValidation type="list" sqref="B6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90" hidden="0" customWidth="1"/>
    <x:col min="4" max="4" width="43" hidden="0" customWidth="1"/>
    <x:col min="5" max="5" width="8" hidden="0" customWidth="1"/>
    <x:col min="6" max="6" width="8" hidden="0" customWidth="1"/>
  </x:cols>
  <x:sheetData>
    <x:row r="1" ht="38" customHeight="1">
      <x:c r="A1" s="4" t="str">
        <x:v>ARIS LAB — EXCEL RULE LINK</x:v>
      </x:c>
      <x:c r="B1" s="4"/>
      <x:c r="C1" s="4"/>
      <x:c r="D1" s="4"/>
      <x:c r="E1" s="4"/>
      <x:c r="F1" s="4"/>
    </x:row>
    <x:row r="2" ht="31" customHeight="1">
      <x:c r="A2" s="10"/>
      <x:c r="B2" s="10"/>
      <x:c r="C2" s="10"/>
      <x:c r="D2" s="10"/>
      <x:c r="E2" s="10"/>
      <x:c r="F2" s="10"/>
    </x:row>
    <x:row r="3" ht="32" customHeight="1">
      <x:c r="A3" s="15" t="str">
        <x:v>STEP</x:v>
      </x:c>
      <x:c r="B3" s="15" t="str">
        <x:v>ARIS LOCATION</x:v>
      </x:c>
      <x:c r="C3" s="15" t="str">
        <x:v>ACTION</x:v>
      </x:c>
      <x:c r="D3" s="15" t="str">
        <x:v>VERIFY</x:v>
      </x:c>
    </x:row>
    <x:row r="4" ht="60" customHeight="1">
      <x:c r="A4" s="26" t="n">
        <x:v>1</x:v>
      </x:c>
      <x:c r="B4" s="26" t="str">
        <x:v>Application launcher → Documents</x:v>
      </x:c>
      <x:c r="C4" s="26" t="str">
        <x:v>Create or select a folder such as Insurance / Business Rules.</x:v>
      </x:c>
      <x:c r="D4" s="26" t="str">
        <x:v>Folder is accessible.</x:v>
      </x:c>
    </x:row>
    <x:row r="5" ht="60" customHeight="1">
      <x:c r="A5" s="23" t="n">
        <x:v>2</x:v>
      </x:c>
      <x:c r="B5" s="23" t="str">
        <x:v>Documents → Upload</x:v>
      </x:c>
      <x:c r="C5" s="23" t="str">
        <x:v>Upload this Underwriting_Rules.xlsx workbook; provide a title if prompted.</x:v>
      </x:c>
      <x:c r="D5" s="23" t="str">
        <x:v>File appears in document list.</x:v>
      </x:c>
    </x:row>
    <x:row r="6" ht="60" customHeight="1">
      <x:c r="A6" s="26" t="n">
        <x:v>3</x:v>
      </x:c>
      <x:c r="B6" s="26" t="str">
        <x:v>Application launcher → Models and objects</x:v>
      </x:c>
      <x:c r="C6" s="26" t="str">
        <x:v>Open your existing UnderwritingV1 BPMN diagram.</x:v>
      </x:c>
      <x:c r="D6" s="26" t="str">
        <x:v>Diagram opens in editing mode.</x:v>
      </x:c>
    </x:row>
    <x:row r="7" ht="60" customHeight="1">
      <x:c r="A7" s="23" t="n">
        <x:v>4</x:v>
      </x:c>
      <x:c r="B7" s="23" t="str">
        <x:v>BPMN task</x:v>
      </x:c>
      <x:c r="C7" s="23" t="str">
        <x:v>Create/select 'Determine Underwriting Eligibility' as a Business Rule Task.</x:v>
      </x:c>
      <x:c r="D7" s="23" t="str">
        <x:v>Rule-task marker visible.</x:v>
      </x:c>
    </x:row>
    <x:row r="8" ht="60" customHeight="1">
      <x:c r="A8" s="26" t="n">
        <x:v>5</x:v>
      </x:c>
      <x:c r="B8" s="26" t="str">
        <x:v>Task properties / More attributes / Documents</x:v>
      </x:c>
      <x:c r="C8" s="26" t="str">
        <x:v>Look for document/ARIS document storage Link or a related-policy attachment option.</x:v>
      </x:c>
      <x:c r="D8" s="26" t="str">
        <x:v>A document selection field is available.</x:v>
      </x:c>
    </x:row>
    <x:row r="9" ht="60" customHeight="1">
      <x:c r="A9" s="23" t="n">
        <x:v>6</x:v>
      </x:c>
      <x:c r="B9" s="23" t="str">
        <x:v>Select document</x:v>
      </x:c>
      <x:c r="C9" s="23" t="str">
        <x:v>Choose the uploaded workbook and save the task/model.</x:v>
      </x:c>
      <x:c r="D9" s="23" t="str">
        <x:v>Document appears on task detail or properties.</x:v>
      </x:c>
    </x:row>
    <x:row r="10" ht="60" customHeight="1">
      <x:c r="A10" s="26" t="n">
        <x:v>7</x:v>
      </x:c>
      <x:c r="B10" s="26" t="str">
        <x:v>Published content</x:v>
      </x:c>
      <x:c r="C10" s="26" t="str">
        <x:v>Publish as needed; open the task and verify document link.</x:v>
      </x:c>
      <x:c r="D10" s="26" t="str">
        <x:v>Workbook can be opened.</x:v>
      </x:c>
    </x:row>
    <x:row r="11" ht="60" customHeight="1">
      <x:c r="A11" s="23" t="n">
        <x:v>8</x:v>
      </x:c>
      <x:c r="B11" s="23" t="str">
        <x:v>If link option missing</x:v>
      </x:c>
      <x:c r="C11" s="23" t="str">
        <x:v>Use task description and a copied stable document URL if allowed; otherwise request feature/permission.</x:v>
      </x:c>
      <x:c r="D11" s="23" t="str">
        <x:v>Document reference is traceable.</x:v>
      </x:c>
    </x:row>
    <x:row r="13" ht="44" customHeight="1">
      <x:c r="A13" s="44" t="str">
        <x:v>NOTE: Link documents; do not use 'Assignment' (for ARIS model-to-model linking). A linked Excel file does not execute decision logic.</x:v>
      </x:c>
      <x:c r="B13" s="44"/>
      <x:c r="C13" s="44"/>
      <x:c r="D13" s="44"/>
      <x:c r="E13" s="44"/>
      <x:c r="F13" s="44"/>
    </x:row>
  </x:sheetData>
  <x:mergeCells>
    <x:mergeCell ref="A1:F1"/>
    <x:mergeCell ref="A13:F13"/>
  </x:mergeCells>
  <x:pageMargins left="0.7" right="0.7" top="0.75" bottom="0.75" header="0.3" footer="0.3"/>
</x:worksheet>
</file>